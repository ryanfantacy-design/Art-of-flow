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68c24c27f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Tracker" sheetId="1" r:id="R4132206ec2b94435"/>
    <x:sheet xmlns:r="http://schemas.openxmlformats.org/officeDocument/2006/relationships" name="Weekly Summary" sheetId="2" r:id="R9858551bbf284aa3"/>
    <x:sheet xmlns:r="http://schemas.openxmlformats.org/officeDocument/2006/relationships" name="Study Phases" sheetId="3" r:id="R771de04672be43c3"/>
    <x:sheet xmlns:r="http://schemas.openxmlformats.org/officeDocument/2006/relationships" name="Weekly Review" sheetId="4" r:id="R89b03f3ec891439f"/>
    <x:sheet xmlns:r="http://schemas.openxmlformats.org/officeDocument/2006/relationships" name="Topic Checklist" sheetId="5" r:id="Rb30a00a037384a80"/>
    <x:sheet xmlns:r="http://schemas.openxmlformats.org/officeDocument/2006/relationships" name="Mock Test Log" sheetId="6" r:id="Rb0b3a678b2e3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0%"/>
  </x:numFmts>
  <x:fonts count="6">
    <x:font>
      <x:sz val="11"/>
      <x:name val="Carlito"/>
    </x:font>
    <x:font>
      <x:b/>
      <x:sz val="18"/>
      <x:color rgb="FFFFFF"/>
      <x:name val="Carlito"/>
    </x:font>
    <x:font>
      <x:i/>
      <x:sz val="11"/>
      <x:color rgb="1F2A21"/>
      <x:name val="Carlito"/>
    </x:font>
    <x:font>
      <x:b/>
      <x:sz val="11"/>
      <x:color rgb="1F2A21"/>
      <x:name val="Carlito"/>
    </x:font>
    <x:font>
      <x:b/>
      <x:sz val="11"/>
      <x:color rgb="FFFFFF"/>
      <x:name val="Carlito"/>
    </x:font>
    <x:font>
      <x:b/>
      <x:sz val="11"/>
      <x:color rgb="1761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6B52"/>
      </x:patternFill>
    </x:fill>
    <x:fill>
      <x:patternFill patternType="solid">
        <x:fgColor rgb="D8EFE5"/>
      </x:patternFill>
    </x:fill>
    <x:fill>
      <x:patternFill patternType="solid">
        <x:fgColor rgb="E8DCC6"/>
      </x:patternFill>
    </x:fill>
    <x:fill>
      <x:patternFill patternType="solid">
        <x:fgColor rgb="FFFCF6"/>
      </x:patternFill>
    </x:fill>
    <x:fill>
      <x:patternFill patternType="solid">
        <x:fgColor rgb="1F2A21"/>
      </x:patternFill>
    </x:fill>
    <x:fill>
      <x:patternFill patternType="solid">
        <x:fgColor rgb="F6E6BE"/>
      </x:patternFill>
    </x:fill>
  </x:fills>
  <x:borders count="18">
    <x:border/>
    <x:border/>
    <x:border>
      <x:left style="thin">
        <x:color rgb="D8CDBB"/>
      </x:left>
      <x:top style="thin">
        <x:color rgb="D8CDBB"/>
      </x:top>
    </x:border>
    <x:border>
      <x:top style="thin">
        <x:color rgb="D8CDBB"/>
      </x:top>
    </x:border>
    <x:border>
      <x:right style="thin">
        <x:color rgb="D8CDBB"/>
      </x:right>
      <x:top style="thin">
        <x:color rgb="D8CDBB"/>
      </x:top>
    </x:border>
    <x:border>
      <x:left style="thin">
        <x:color rgb="D8CDBB"/>
      </x:left>
    </x:border>
    <x:border>
      <x:right style="thin">
        <x:color rgb="D8CDBB"/>
      </x:right>
    </x:border>
    <x:border>
      <x:left style="thin">
        <x:color rgb="D8CDBB"/>
      </x:left>
      <x:bottom style="thin">
        <x:color rgb="D8CDBB"/>
      </x:bottom>
    </x:border>
    <x:border>
      <x:bottom style="thin">
        <x:color rgb="D8CDBB"/>
      </x:bottom>
    </x:border>
    <x:border>
      <x:right style="thin">
        <x:color rgb="D8CDBB"/>
      </x:right>
      <x:bottom style="thin">
        <x:color rgb="D8CDBB"/>
      </x:bottom>
    </x:border>
    <x:border>
      <x:left style="thin">
        <x:color rgb="D8CDBB"/>
      </x:left>
      <x:top style="thin">
        <x:color rgb="D8CDBB"/>
      </x:top>
    </x:border>
    <x:border>
      <x:top style="thin">
        <x:color rgb="D8CDBB"/>
      </x:top>
    </x:border>
    <x:border>
      <x:right style="thin">
        <x:color rgb="D8CDBB"/>
      </x:right>
      <x:top style="thin">
        <x:color rgb="D8CDBB"/>
      </x:top>
    </x:border>
    <x:border>
      <x:left style="thin">
        <x:color rgb="D8CDBB"/>
      </x:left>
    </x:border>
    <x:border>
      <x:right style="thin">
        <x:color rgb="D8CDBB"/>
      </x:right>
    </x:border>
    <x:border>
      <x:left style="thin">
        <x:color rgb="D8CDBB"/>
      </x:left>
      <x:bottom style="thin">
        <x:color rgb="D8CDBB"/>
      </x:bottom>
    </x:border>
    <x:border>
      <x:bottom style="thin">
        <x:color rgb="D8CDBB"/>
      </x:bottom>
    </x:border>
    <x:border>
      <x:right style="thin">
        <x:color rgb="D8CDBB"/>
      </x:right>
      <x:bottom style="thin">
        <x:color rgb="D8CDBB"/>
      </x:bottom>
    </x:border>
  </x:borders>
  <x:cellStyleXfs count="1">
    <x:xf numFmtId="0" fontId="0" fillId="0" borderId="0"/>
  </x:cellStyleXfs>
  <x:cellXfs count="164">
    <x:xf numFmtId="0" fontId="0" fillId="0" borderId="0" xfId="0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/>
    <x:xf numFmtId="0" fontId="4" fillId="6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/>
    <x:xf numFmtId="0" fontId="4" fillId="6" borderId="13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1" fillId="6" borderId="4" xfId="0" applyNumberFormat="1" applyFont="1" applyFill="1" applyBorder="1" applyAlignment="1">
      <x:alignment horizontal="center" vertical="center"/>
    </x:xf>
    <x:xf numFmtId="0" fontId="2" fillId="7" borderId="5" xfId="0" applyNumberFormat="1" applyFont="1" applyFill="1" applyBorder="1" applyAlignment="1">
      <x:alignment horizontal="center" vertical="center"/>
    </x:xf>
    <x:xf numFmtId="0" fontId="2" fillId="7" borderId="6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/>
    </x:xf>
    <x:xf numFmtId="0" fontId="1" fillId="6" borderId="11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2" fillId="7" borderId="13" xfId="0" applyNumberFormat="1" applyFont="1" applyFill="1" applyBorder="1" applyAlignment="1">
      <x:alignment horizontal="center" vertical="center"/>
    </x:xf>
    <x:xf numFmtId="0" fontId="2" fillId="7" borderId="14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5" fillId="3" borderId="15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6" borderId="6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6" borderId="14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 applyAlignment="1">
      <x:alignment vertical="center"/>
    </x:xf>
    <x:xf numFmtId="0" fontId="0" fillId="5" borderId="14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0" fillId="5" borderId="16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5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176147"/>
      </x:font>
      <x:fill>
        <x:patternFill patternType="solid">
          <x:bgColor rgb="D7F0E6"/>
        </x:patternFill>
      </x:fill>
    </x:dxf>
    <x:dxf>
      <x:font>
        <x:b/>
        <x:color rgb="9C4334"/>
      </x:font>
      <x:fill>
        <x:patternFill patternType="solid">
          <x:bgColor rgb="F8DDD7"/>
        </x:patternFill>
      </x:fill>
    </x:dxf>
    <x:dxf>
      <x:font>
        <x:b/>
        <x:color rgb="176147"/>
      </x:font>
      <x:fill>
        <x:patternFill patternType="solid">
          <x:bgColor rgb="D7F0E6"/>
        </x:patternFill>
      </x:fill>
    </x:dxf>
    <x:dxf>
      <x:font>
        <x:b/>
        <x:color rgb="8A5B0F"/>
      </x:font>
      <x:fill>
        <x:patternFill patternType="solid">
          <x:bgColor rgb="F6E6BE"/>
        </x:patternFill>
      </x:fill>
    </x:dxf>
    <x:dxf>
      <x:font>
        <x:b/>
        <x:color rgb="9C4334"/>
      </x:font>
      <x:fill>
        <x:patternFill patternType="solid">
          <x:bgColor rgb="F8DDD7"/>
        </x:patternFill>
      </x:fill>
    </x:dxf>
    <x:dxf>
      <x:font>
        <x:b/>
        <x:color rgb="176147"/>
      </x:font>
      <x:fill>
        <x:patternFill patternType="solid">
          <x:bgColor rgb="D7F0E6"/>
        </x:patternFill>
      </x:fill>
    </x:dxf>
    <x:dxf>
      <x:font>
        <x:b/>
        <x:color rgb="8A5B0F"/>
      </x:font>
      <x:fill>
        <x:patternFill patternType="solid">
          <x:bgColor rgb="F6E6BE"/>
        </x:patternFill>
      </x:fill>
    </x:dxf>
    <x:dxf>
      <x:font>
        <x:b/>
        <x:color rgb="9C4334"/>
      </x:font>
      <x:fill>
        <x:patternFill patternType="solid">
          <x:bgColor rgb="F8DDD7"/>
        </x:patternFill>
      </x:fill>
    </x:dxf>
    <x:dxf>
      <x:font>
        <x:b/>
        <x:color rgb="176147"/>
      </x:font>
      <x:fill>
        <x:patternFill patternType="solid">
          <x:bgColor rgb="D7F0E6"/>
        </x:patternFill>
      </x:fill>
    </x:dxf>
    <x:dxf>
      <x:font>
        <x:b/>
        <x:color rgb="9C4334"/>
      </x:font>
      <x:fill>
        <x:patternFill patternType="solid">
          <x:bgColor rgb="F8DDD7"/>
        </x:patternFill>
      </x:fill>
    </x:dxf>
    <x:dxf>
      <x:font>
        <x:b/>
        <x:color rgb="8A5B0F"/>
      </x:font>
      <x:fill>
        <x:patternFill patternType="solid">
          <x:bgColor rgb="F6E6BE"/>
        </x:patternFill>
      </x:fill>
    </x:dxf>
    <x:dxf>
      <x:font>
        <x:b/>
        <x:color rgb="176147"/>
      </x:font>
      <x:fill>
        <x:patternFill patternType="solid">
          <x:bgColor rgb="D7F0E6"/>
        </x:patternFill>
      </x:fill>
    </x:dxf>
    <x:dxf>
      <x:font>
        <x:b/>
        <x:color rgb="5B4694"/>
      </x:font>
      <x:fill>
        <x:patternFill patternType="solid">
          <x:bgColor rgb="E6E0F8"/>
        </x:patternFill>
      </x:fill>
    </x:dxf>
    <x:dxf>
      <x:font>
        <x:b/>
        <x:color rgb="9C4334"/>
      </x:font>
      <x:fill>
        <x:patternFill patternType="solid">
          <x:bgColor rgb="F8DDD7"/>
        </x:patternFill>
      </x:fill>
    </x:dxf>
    <x:dxf>
      <x:font>
        <x:b/>
        <x:color rgb="285F8F"/>
      </x:font>
      <x:fill>
        <x:patternFill patternType="solid">
          <x:bgColor rgb="DCEA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f9ed213bc4e73" /><Relationship Type="http://schemas.openxmlformats.org/officeDocument/2006/relationships/theme" Target="/xl/theme/theme1.xml" Id="R74a8fa35be064c9f" /><Relationship Type="http://schemas.openxmlformats.org/officeDocument/2006/relationships/sharedStrings" Target="/xl/sharedStrings.xml" Id="Rea90fb34daea4976" /><Relationship Type="http://schemas.openxmlformats.org/officeDocument/2006/relationships/worksheet" Target="/xl/worksheets/sheet1.xml" Id="R4132206ec2b94435" /><Relationship Type="http://schemas.openxmlformats.org/officeDocument/2006/relationships/worksheet" Target="/xl/worksheets/sheet2.xml" Id="R9858551bbf284aa3" /><Relationship Type="http://schemas.openxmlformats.org/officeDocument/2006/relationships/worksheet" Target="/xl/worksheets/sheet3.xml" Id="R771de04672be43c3" /><Relationship Type="http://schemas.openxmlformats.org/officeDocument/2006/relationships/worksheet" Target="/xl/worksheets/sheet4.xml" Id="R89b03f3ec891439f" /><Relationship Type="http://schemas.openxmlformats.org/officeDocument/2006/relationships/worksheet" Target="/xl/worksheets/sheet5.xml" Id="Rb30a00a037384a80" /><Relationship Type="http://schemas.openxmlformats.org/officeDocument/2006/relationships/worksheet" Target="/xl/worksheets/sheet6.xml" Id="Rb0b3a678b2e344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5947cacb1a40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Score Trend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Date</c:v>
          </c:tx>
          <c:marker/>
          <c:cat>
            <c:strRef>
              <c:f>'Weekly Summary'!$A$5:$A$11</c:f>
              <c:strCache>
                <c:ptCount val="0"/>
              </c:strCache>
            </c:strRef>
          </c:cat>
          <c:val>
            <c:numRef>
              <c:f>'Weekly Summary'!$B$5:$B$11</c:f>
              <c:numCache>
                <c:formatCode>dd-mmm-yyyy</c:formatCode>
                <c:ptCount val="0"/>
              </c:numCache>
            </c:numRef>
          </c:val>
          <c:smooth val="0"/>
        </c:ser>
        <c:ser>
          <c:idx val="1"/>
          <c:order val="1"/>
          <c:tx>
            <c:v>Score / 80</c:v>
          </c:tx>
          <c:marker/>
          <c:cat>
            <c:strRef>
              <c:f>'Weekly Summary'!$A$5:$A$11</c:f>
              <c:strCache>
                <c:ptCount val="0"/>
              </c:strCache>
            </c:strRef>
          </c:cat>
          <c:val>
            <c:numRef>
              <c:f>'Weekly Summary'!$C$5:$C$11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947cacb1a40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aabfee01e76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5" hidden="0" customWidth="1"/>
    <x:col min="3" max="3" width="14.710000038146973" hidden="0" customWidth="1"/>
    <x:col min="4" max="4" width="14.710000038146973" hidden="0" customWidth="1"/>
    <x:col min="5" max="5" width="14.710000038146973" hidden="0" customWidth="1"/>
    <x:col min="6" max="6" width="14.710000038146973" hidden="0" customWidth="1"/>
    <x:col min="7" max="7" width="14.710000038146973" hidden="0" customWidth="1"/>
    <x:col min="8" max="8" width="14.710000038146973" hidden="0" customWidth="1"/>
    <x:col min="9" max="9" width="14.710000038146973" hidden="0" customWidth="1"/>
    <x:col min="10" max="10" width="14.710000038146973" hidden="0" customWidth="1"/>
    <x:col min="11" max="11" width="12.859999656677246" hidden="0" customWidth="1"/>
    <x:col min="12" max="12" width="16.43000030517578" hidden="0" customWidth="1"/>
    <x:col min="13" max="13" width="33.56999969482422" hidden="0" customWidth="1"/>
  </x:cols>
  <x:sheetData>
    <x:row r="1" ht="25.5" customHeight="1">
      <x:c r="A1" s="44" t="str">
        <x:v>FAO Study Tracker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6"/>
    </x:row>
    <x:row r="2" ht="27" customHeight="1">
      <x:c r="A2" s="47" t="str">
        <x:v>Day-wise checklist with ✔/✘ tracking. Each ✔ is worth 10 points, for a total of 80 per day.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48"/>
    </x:row>
    <x:row r="3">
      <x:c r="A3" s="49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1"/>
    </x:row>
    <x:row r="4">
      <x:c r="A4" s="52" t="str">
        <x:v>Day</x:v>
      </x:c>
      <x:c r="B4" s="30" t="str">
        <x:v>Date</x:v>
      </x:c>
      <x:c r="C4" s="30" t="str">
        <x:v>Gym</x:v>
      </x:c>
      <x:c r="D4" s="30" t="str">
        <x:v>Maths/Stats (2 hrs)</x:v>
      </x:c>
      <x:c r="E4" s="30" t="str">
        <x:v>Commerce</x:v>
      </x:c>
      <x:c r="F4" s="30" t="str">
        <x:v>Reasoning (20 Q)</x:v>
      </x:c>
      <x:c r="G4" s="30" t="str">
        <x:v>Polity/Eco</x:v>
      </x:c>
      <x:c r="H4" s="30" t="str">
        <x:v>Current Affairs</x:v>
      </x:c>
      <x:c r="I4" s="30" t="str">
        <x:v>Revision</x:v>
      </x:c>
      <x:c r="J4" s="30" t="str">
        <x:v>Coaching</x:v>
      </x:c>
      <x:c r="K4" s="30" t="str">
        <x:v>Daily Score</x:v>
      </x:c>
      <x:c r="L4" s="30" t="str">
        <x:v>Status</x:v>
      </x:c>
      <x:c r="M4" s="53" t="str">
        <x:v>Motivation</x:v>
      </x:c>
    </x:row>
    <x:row r="5">
      <x:c r="A5" s="54" t="n">
        <x:v>1</x:v>
      </x:c>
      <x:c r="B5" s="41" t="n">
        <x:f>TODAY()-6</x:f>
        <x:v>46130</x:v>
      </x:c>
      <x:c r="C5" s="40" t="str">
        <x:v>✘</x:v>
      </x:c>
      <x:c r="D5" s="40" t="str">
        <x:v>✘</x:v>
      </x:c>
      <x:c r="E5" s="40" t="str">
        <x:v>✘</x:v>
      </x:c>
      <x:c r="F5" s="40" t="str">
        <x:v>✘</x:v>
      </x:c>
      <x:c r="G5" s="40" t="str">
        <x:v>✘</x:v>
      </x:c>
      <x:c r="H5" s="40" t="str">
        <x:v>✘</x:v>
      </x:c>
      <x:c r="I5" s="40" t="str">
        <x:v>✘</x:v>
      </x:c>
      <x:c r="J5" s="40" t="str">
        <x:v>✘</x:v>
      </x:c>
      <x:c r="K5" s="40" t="n">
        <x:f>COUNTIF(C5:J5,"✔")*10</x:f>
        <x:v>0</x:v>
      </x:c>
      <x:c r="L5" s="40" t="str">
        <x:f>IF(K5&gt;=70,"Topper Mode",IF(K5&gt;=50,"Good","Improve"))</x:f>
        <x:v>Improve</x:v>
      </x:c>
      <x:c r="M5" s="55" t="str">
        <x:f>IF(COUNTIF(C5:J5,"✔")=8,"Excellent work - all tasks completed!","Keep going - every task counts.")</x:f>
        <x:v>Keep going - every task counts.</x:v>
      </x:c>
    </x:row>
    <x:row r="6">
      <x:c r="A6" s="54" t="n">
        <x:v>2</x:v>
      </x:c>
      <x:c r="B6" s="41" t="n">
        <x:f>B5+1</x:f>
        <x:v>46131</x:v>
      </x:c>
      <x:c r="C6" s="40" t="str">
        <x:v>✘</x:v>
      </x:c>
      <x:c r="D6" s="40" t="str">
        <x:v>✘</x:v>
      </x:c>
      <x:c r="E6" s="40" t="str">
        <x:v>✘</x:v>
      </x:c>
      <x:c r="F6" s="40" t="str">
        <x:v>✘</x:v>
      </x:c>
      <x:c r="G6" s="40" t="str">
        <x:v>✘</x:v>
      </x:c>
      <x:c r="H6" s="40" t="str">
        <x:v>✘</x:v>
      </x:c>
      <x:c r="I6" s="40" t="str">
        <x:v>✘</x:v>
      </x:c>
      <x:c r="J6" s="40" t="str">
        <x:v>✘</x:v>
      </x:c>
      <x:c r="K6" s="40" t="n">
        <x:f>COUNTIF(C6:J6,"✔")*10</x:f>
        <x:v>0</x:v>
      </x:c>
      <x:c r="L6" s="40" t="str">
        <x:f>IF(K6&gt;=70,"Topper Mode",IF(K6&gt;=50,"Good","Improve"))</x:f>
        <x:v>Improve</x:v>
      </x:c>
      <x:c r="M6" s="55" t="str">
        <x:f>IF(COUNTIF(C6:J6,"✔")=8,"Excellent work - all tasks completed!","Keep going - every task counts.")</x:f>
        <x:v>Keep going - every task counts.</x:v>
      </x:c>
    </x:row>
    <x:row r="7">
      <x:c r="A7" s="54" t="n">
        <x:v>3</x:v>
      </x:c>
      <x:c r="B7" s="41" t="n">
        <x:f>B6+1</x:f>
        <x:v>46132</x:v>
      </x:c>
      <x:c r="C7" s="40" t="str">
        <x:v>✘</x:v>
      </x:c>
      <x:c r="D7" s="40" t="str">
        <x:v>✘</x:v>
      </x:c>
      <x:c r="E7" s="40" t="str">
        <x:v>✘</x:v>
      </x:c>
      <x:c r="F7" s="40" t="str">
        <x:v>✘</x:v>
      </x:c>
      <x:c r="G7" s="40" t="str">
        <x:v>✘</x:v>
      </x:c>
      <x:c r="H7" s="40" t="str">
        <x:v>✘</x:v>
      </x:c>
      <x:c r="I7" s="40" t="str">
        <x:v>✘</x:v>
      </x:c>
      <x:c r="J7" s="40" t="str">
        <x:v>✘</x:v>
      </x:c>
      <x:c r="K7" s="40" t="n">
        <x:f>COUNTIF(C7:J7,"✔")*10</x:f>
        <x:v>0</x:v>
      </x:c>
      <x:c r="L7" s="40" t="str">
        <x:f>IF(K7&gt;=70,"Topper Mode",IF(K7&gt;=50,"Good","Improve"))</x:f>
        <x:v>Improve</x:v>
      </x:c>
      <x:c r="M7" s="55" t="str">
        <x:f>IF(COUNTIF(C7:J7,"✔")=8,"Excellent work - all tasks completed!","Keep going - every task counts.")</x:f>
        <x:v>Keep going - every task counts.</x:v>
      </x:c>
    </x:row>
    <x:row r="8">
      <x:c r="A8" s="54" t="n">
        <x:v>4</x:v>
      </x:c>
      <x:c r="B8" s="41" t="n">
        <x:f>B7+1</x:f>
        <x:v>46133</x:v>
      </x:c>
      <x:c r="C8" s="40" t="str">
        <x:v>✘</x:v>
      </x:c>
      <x:c r="D8" s="40" t="str">
        <x:v>✘</x:v>
      </x:c>
      <x:c r="E8" s="40" t="str">
        <x:v>✘</x:v>
      </x:c>
      <x:c r="F8" s="40" t="str">
        <x:v>✘</x:v>
      </x:c>
      <x:c r="G8" s="40" t="str">
        <x:v>✘</x:v>
      </x:c>
      <x:c r="H8" s="40" t="str">
        <x:v>✘</x:v>
      </x:c>
      <x:c r="I8" s="40" t="str">
        <x:v>✘</x:v>
      </x:c>
      <x:c r="J8" s="40" t="str">
        <x:v>✘</x:v>
      </x:c>
      <x:c r="K8" s="40" t="n">
        <x:f>COUNTIF(C8:J8,"✔")*10</x:f>
        <x:v>0</x:v>
      </x:c>
      <x:c r="L8" s="40" t="str">
        <x:f>IF(K8&gt;=70,"Topper Mode",IF(K8&gt;=50,"Good","Improve"))</x:f>
        <x:v>Improve</x:v>
      </x:c>
      <x:c r="M8" s="55" t="str">
        <x:f>IF(COUNTIF(C8:J8,"✔")=8,"Excellent work - all tasks completed!","Keep going - every task counts.")</x:f>
        <x:v>Keep going - every task counts.</x:v>
      </x:c>
    </x:row>
    <x:row r="9">
      <x:c r="A9" s="54" t="n">
        <x:v>5</x:v>
      </x:c>
      <x:c r="B9" s="41" t="n">
        <x:f>B8+1</x:f>
        <x:v>46134</x:v>
      </x:c>
      <x:c r="C9" s="40" t="str">
        <x:v>✘</x:v>
      </x:c>
      <x:c r="D9" s="40" t="str">
        <x:v>✘</x:v>
      </x:c>
      <x:c r="E9" s="40" t="str">
        <x:v>✘</x:v>
      </x:c>
      <x:c r="F9" s="40" t="str">
        <x:v>✘</x:v>
      </x:c>
      <x:c r="G9" s="40" t="str">
        <x:v>✘</x:v>
      </x:c>
      <x:c r="H9" s="40" t="str">
        <x:v>✘</x:v>
      </x:c>
      <x:c r="I9" s="40" t="str">
        <x:v>✘</x:v>
      </x:c>
      <x:c r="J9" s="40" t="str">
        <x:v>✘</x:v>
      </x:c>
      <x:c r="K9" s="40" t="n">
        <x:f>COUNTIF(C9:J9,"✔")*10</x:f>
        <x:v>0</x:v>
      </x:c>
      <x:c r="L9" s="40" t="str">
        <x:f>IF(K9&gt;=70,"Topper Mode",IF(K9&gt;=50,"Good","Improve"))</x:f>
        <x:v>Improve</x:v>
      </x:c>
      <x:c r="M9" s="55" t="str">
        <x:f>IF(COUNTIF(C9:J9,"✔")=8,"Excellent work - all tasks completed!","Keep going - every task counts.")</x:f>
        <x:v>Keep going - every task counts.</x:v>
      </x:c>
    </x:row>
    <x:row r="10">
      <x:c r="A10" s="54" t="n">
        <x:v>6</x:v>
      </x:c>
      <x:c r="B10" s="41" t="n">
        <x:f>B9+1</x:f>
        <x:v>46135</x:v>
      </x:c>
      <x:c r="C10" s="40" t="str">
        <x:v>✘</x:v>
      </x:c>
      <x:c r="D10" s="40" t="str">
        <x:v>✘</x:v>
      </x:c>
      <x:c r="E10" s="40" t="str">
        <x:v>✘</x:v>
      </x:c>
      <x:c r="F10" s="40" t="str">
        <x:v>✘</x:v>
      </x:c>
      <x:c r="G10" s="40" t="str">
        <x:v>✘</x:v>
      </x:c>
      <x:c r="H10" s="40" t="str">
        <x:v>✘</x:v>
      </x:c>
      <x:c r="I10" s="40" t="str">
        <x:v>✘</x:v>
      </x:c>
      <x:c r="J10" s="40" t="str">
        <x:v>✘</x:v>
      </x:c>
      <x:c r="K10" s="40" t="n">
        <x:f>COUNTIF(C10:J10,"✔")*10</x:f>
        <x:v>0</x:v>
      </x:c>
      <x:c r="L10" s="40" t="str">
        <x:f>IF(K10&gt;=70,"Topper Mode",IF(K10&gt;=50,"Good","Improve"))</x:f>
        <x:v>Improve</x:v>
      </x:c>
      <x:c r="M10" s="55" t="str">
        <x:f>IF(COUNTIF(C10:J10,"✔")=8,"Excellent work - all tasks completed!","Keep going - every task counts.")</x:f>
        <x:v>Keep going - every task counts.</x:v>
      </x:c>
    </x:row>
    <x:row r="11">
      <x:c r="A11" s="56" t="n">
        <x:v>7</x:v>
      </x:c>
      <x:c r="B11" s="57" t="n">
        <x:f>B10+1</x:f>
        <x:v>46136</x:v>
      </x:c>
      <x:c r="C11" s="58" t="str">
        <x:v>✘</x:v>
      </x:c>
      <x:c r="D11" s="58" t="str">
        <x:v>✘</x:v>
      </x:c>
      <x:c r="E11" s="58" t="str">
        <x:v>✘</x:v>
      </x:c>
      <x:c r="F11" s="58" t="str">
        <x:v>✘</x:v>
      </x:c>
      <x:c r="G11" s="58" t="str">
        <x:v>✘</x:v>
      </x:c>
      <x:c r="H11" s="58" t="str">
        <x:v>✘</x:v>
      </x:c>
      <x:c r="I11" s="58" t="str">
        <x:v>✘</x:v>
      </x:c>
      <x:c r="J11" s="58" t="str">
        <x:v>✘</x:v>
      </x:c>
      <x:c r="K11" s="58" t="n">
        <x:f>COUNTIF(C11:J11,"✔")*10</x:f>
        <x:v>0</x:v>
      </x:c>
      <x:c r="L11" s="58" t="str">
        <x:f>IF(K11&gt;=70,"Topper Mode",IF(K11&gt;=50,"Good","Improve"))</x:f>
        <x:v>Improve</x:v>
      </x:c>
      <x:c r="M11" s="59" t="str">
        <x:f>IF(COUNTIF(C11:J11,"✔")=8,"Excellent work - all tasks completed!","Keep going - every task counts.")</x:f>
        <x:v>Keep going - every task counts.</x:v>
      </x:c>
    </x:row>
  </x:sheetData>
  <x:mergeCells>
    <x:mergeCell ref="A1:M1"/>
    <x:mergeCell ref="A2:M2"/>
  </x:mergeCells>
  <x:conditionalFormatting sqref="C5:J11">
    <x:cfRule type="expression" dxfId="0" priority="1">
      <x:formula>C5="✔"</x:formula>
    </x:cfRule>
    <x:cfRule type="expression" dxfId="1" priority="2">
      <x:formula>C5="✘"</x:formula>
    </x:cfRule>
  </x:conditionalFormatting>
  <x:conditionalFormatting sqref="K5:K11">
    <x:cfRule type="dataBar" priority="3">
      <x:dataBar>
        <x:cfvo type="min"/>
        <x:cfvo type="max"/>
        <x:color rgb="1F6B52"/>
      </x:dataBar>
      <x:extLst>
        <x:ext xmlns:x14="http://schemas.microsoft.com/office/spreadsheetml/2009/9/main" uri="{B025F937-C7B1-47D3-B67F-A62EFF666E3E}">
          <x14:id>{5447274F-0D26-F85A-6F8A-B39F8F51996C}</x14:id>
        </x:ext>
      </x:extLst>
    </x:cfRule>
  </x:conditionalFormatting>
  <x:dataValidations count="1">
    <x:dataValidation type="list" sqref="C5:J11">
      <x:formula1>"✔,✘"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447274F-0D26-F85A-6F8A-B39F8F51996C}">
            <x14:dataBar gradient="1">
              <x14:cfvo type="min"/>
              <x14:cfvo type="max"/>
              <x14:fillColor rgb="1F6B52"/>
            </x14:dataBar>
          </x14:cfRule>
          <xm:sqref>K5:K11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16.43000030517578" hidden="0" customWidth="1"/>
    <x:col min="3" max="3" width="16.43000030517578" hidden="0" customWidth="1"/>
    <x:col min="4" max="4" width="16.43000030517578" hidden="0" customWidth="1"/>
    <x:col min="5" max="5" width="16.43000030517578" hidden="0" customWidth="1"/>
    <x:col min="6" max="6" width="13.569999694824219" hidden="0" customWidth="1"/>
  </x:cols>
  <x:sheetData>
    <x:row r="1">
      <x:c r="A1" s="81" t="str">
        <x:v>Weekly Summary</x:v>
      </x:c>
      <x:c r="B1" s="81"/>
      <x:c r="C1" s="81"/>
      <x:c r="D1" s="81"/>
      <x:c r="E1" s="81"/>
      <x:c r="F1" s="81"/>
    </x:row>
    <x:row r="2">
      <x:c r="A2" s="89" t="str">
        <x:v>Scores and completion counts update automatically from the Daily Tracker sheet.</x:v>
      </x:c>
      <x:c r="B2" s="89"/>
      <x:c r="C2" s="89"/>
      <x:c r="D2" s="89"/>
      <x:c r="E2" s="89"/>
      <x:c r="F2" s="89"/>
    </x:row>
    <x:row r="4">
      <x:c r="A4" s="91" t="str">
        <x:v>Day</x:v>
      </x:c>
      <x:c r="B4" s="91" t="str">
        <x:v>Date</x:v>
      </x:c>
      <x:c r="C4" s="91" t="str">
        <x:v>Score / 80</x:v>
      </x:c>
      <x:c r="D4" s="91" t="str">
        <x:v>Status</x:v>
      </x:c>
      <x:c r="E4" s="91" t="str">
        <x:v>Completed Tasks</x:v>
      </x:c>
      <x:c r="F4" s="91" t="str">
        <x:v>Week Average</x:v>
      </x:c>
    </x:row>
    <x:row r="5">
      <x:c r="A5" s="93" t="n">
        <x:f>'Daily Tracker'!A5</x:f>
        <x:v>1</x:v>
      </x:c>
      <x:c r="B5" s="94" t="n">
        <x:f>'Daily Tracker'!B5</x:f>
        <x:v>46130</x:v>
      </x:c>
      <x:c r="C5" s="93" t="n">
        <x:f>'Daily Tracker'!K5</x:f>
        <x:v>0</x:v>
      </x:c>
      <x:c r="D5" s="93" t="str">
        <x:f>'Daily Tracker'!L5</x:f>
        <x:v>Improve</x:v>
      </x:c>
      <x:c r="E5" s="93" t="n">
        <x:f>COUNTIF('Daily Tracker'!C5:J5,"✔")</x:f>
        <x:v>0</x:v>
      </x:c>
      <x:c r="F5" s="93" t="n">
        <x:f>AVERAGE('Daily Tracker'!K$5:K$11)</x:f>
        <x:v>0</x:v>
      </x:c>
    </x:row>
    <x:row r="6">
      <x:c r="A6" s="93" t="n">
        <x:f>'Daily Tracker'!A6</x:f>
        <x:v>2</x:v>
      </x:c>
      <x:c r="B6" s="94" t="n">
        <x:f>'Daily Tracker'!B6</x:f>
        <x:v>46131</x:v>
      </x:c>
      <x:c r="C6" s="93" t="n">
        <x:f>'Daily Tracker'!K6</x:f>
        <x:v>0</x:v>
      </x:c>
      <x:c r="D6" s="93" t="str">
        <x:f>'Daily Tracker'!L6</x:f>
        <x:v>Improve</x:v>
      </x:c>
      <x:c r="E6" s="93" t="n">
        <x:f>COUNTIF('Daily Tracker'!C6:J6,"✔")</x:f>
        <x:v>0</x:v>
      </x:c>
      <x:c r="F6" s="93" t="n">
        <x:f>AVERAGE('Daily Tracker'!K$5:K$11)</x:f>
        <x:v>0</x:v>
      </x:c>
    </x:row>
    <x:row r="7">
      <x:c r="A7" s="93" t="n">
        <x:f>'Daily Tracker'!A7</x:f>
        <x:v>3</x:v>
      </x:c>
      <x:c r="B7" s="94" t="n">
        <x:f>'Daily Tracker'!B7</x:f>
        <x:v>46132</x:v>
      </x:c>
      <x:c r="C7" s="93" t="n">
        <x:f>'Daily Tracker'!K7</x:f>
        <x:v>0</x:v>
      </x:c>
      <x:c r="D7" s="93" t="str">
        <x:f>'Daily Tracker'!L7</x:f>
        <x:v>Improve</x:v>
      </x:c>
      <x:c r="E7" s="93" t="n">
        <x:f>COUNTIF('Daily Tracker'!C7:J7,"✔")</x:f>
        <x:v>0</x:v>
      </x:c>
      <x:c r="F7" s="93" t="n">
        <x:f>AVERAGE('Daily Tracker'!K$5:K$11)</x:f>
        <x:v>0</x:v>
      </x:c>
    </x:row>
    <x:row r="8">
      <x:c r="A8" s="93" t="n">
        <x:f>'Daily Tracker'!A8</x:f>
        <x:v>4</x:v>
      </x:c>
      <x:c r="B8" s="94" t="n">
        <x:f>'Daily Tracker'!B8</x:f>
        <x:v>46133</x:v>
      </x:c>
      <x:c r="C8" s="93" t="n">
        <x:f>'Daily Tracker'!K8</x:f>
        <x:v>0</x:v>
      </x:c>
      <x:c r="D8" s="93" t="str">
        <x:f>'Daily Tracker'!L8</x:f>
        <x:v>Improve</x:v>
      </x:c>
      <x:c r="E8" s="93" t="n">
        <x:f>COUNTIF('Daily Tracker'!C8:J8,"✔")</x:f>
        <x:v>0</x:v>
      </x:c>
      <x:c r="F8" s="93" t="n">
        <x:f>AVERAGE('Daily Tracker'!K$5:K$11)</x:f>
        <x:v>0</x:v>
      </x:c>
    </x:row>
    <x:row r="9">
      <x:c r="A9" s="93" t="n">
        <x:f>'Daily Tracker'!A9</x:f>
        <x:v>5</x:v>
      </x:c>
      <x:c r="B9" s="94" t="n">
        <x:f>'Daily Tracker'!B9</x:f>
        <x:v>46134</x:v>
      </x:c>
      <x:c r="C9" s="93" t="n">
        <x:f>'Daily Tracker'!K9</x:f>
        <x:v>0</x:v>
      </x:c>
      <x:c r="D9" s="93" t="str">
        <x:f>'Daily Tracker'!L9</x:f>
        <x:v>Improve</x:v>
      </x:c>
      <x:c r="E9" s="93" t="n">
        <x:f>COUNTIF('Daily Tracker'!C9:J9,"✔")</x:f>
        <x:v>0</x:v>
      </x:c>
      <x:c r="F9" s="93" t="n">
        <x:f>AVERAGE('Daily Tracker'!K$5:K$11)</x:f>
        <x:v>0</x:v>
      </x:c>
    </x:row>
    <x:row r="10">
      <x:c r="A10" s="93" t="n">
        <x:f>'Daily Tracker'!A10</x:f>
        <x:v>6</x:v>
      </x:c>
      <x:c r="B10" s="94" t="n">
        <x:f>'Daily Tracker'!B10</x:f>
        <x:v>46135</x:v>
      </x:c>
      <x:c r="C10" s="93" t="n">
        <x:f>'Daily Tracker'!K10</x:f>
        <x:v>0</x:v>
      </x:c>
      <x:c r="D10" s="93" t="str">
        <x:f>'Daily Tracker'!L10</x:f>
        <x:v>Improve</x:v>
      </x:c>
      <x:c r="E10" s="93" t="n">
        <x:f>COUNTIF('Daily Tracker'!C10:J10,"✔")</x:f>
        <x:v>0</x:v>
      </x:c>
      <x:c r="F10" s="93" t="n">
        <x:f>AVERAGE('Daily Tracker'!K$5:K$11)</x:f>
        <x:v>0</x:v>
      </x:c>
    </x:row>
    <x:row r="11">
      <x:c r="A11" s="93" t="n">
        <x:f>'Daily Tracker'!A11</x:f>
        <x:v>7</x:v>
      </x:c>
      <x:c r="B11" s="94" t="n">
        <x:f>'Daily Tracker'!B11</x:f>
        <x:v>46136</x:v>
      </x:c>
      <x:c r="C11" s="93" t="n">
        <x:f>'Daily Tracker'!K11</x:f>
        <x:v>0</x:v>
      </x:c>
      <x:c r="D11" s="93" t="str">
        <x:f>'Daily Tracker'!L11</x:f>
        <x:v>Improve</x:v>
      </x:c>
      <x:c r="E11" s="93" t="n">
        <x:f>COUNTIF('Daily Tracker'!C11:J11,"✔")</x:f>
        <x:v>0</x:v>
      </x:c>
      <x:c r="F11" s="93" t="n">
        <x:f>AVERAGE('Daily Tracker'!K$5:K$11)</x:f>
        <x:v>0</x:v>
      </x:c>
    </x:row>
  </x:sheetData>
  <x:mergeCells>
    <x:mergeCell ref="A1:F1"/>
    <x:mergeCell ref="A2:F2"/>
  </x:mergeCells>
  <x:conditionalFormatting sqref="C5:C11">
    <x:cfRule type="dataBar" priority="1">
      <x:dataBar>
        <x:cfvo type="min"/>
        <x:cfvo type="max"/>
        <x:color rgb="1F6B52"/>
      </x:dataBar>
      <x:extLst>
        <x:ext xmlns:x14="http://schemas.microsoft.com/office/spreadsheetml/2009/9/main" uri="{B025F937-C7B1-47D3-B67F-A62EFF666E3E}">
          <x14:id>{CAB59E76-3AD0-F7E2-9F75-3264CD8C1104}</x14:id>
        </x:ext>
      </x:extLst>
    </x:cfRule>
  </x:conditionalFormatting>
  <x:conditionalFormatting sqref="D5:D11">
    <x:cfRule type="expression" dxfId="2" priority="2">
      <x:formula>D5="Topper Mode"</x:formula>
    </x:cfRule>
    <x:cfRule type="expression" dxfId="3" priority="3">
      <x:formula>D5="Good"</x:formula>
    </x:cfRule>
    <x:cfRule type="expression" dxfId="4" priority="4">
      <x:formula>D5="Improve"</x:formula>
    </x:cfRule>
  </x:conditionalFormatting>
  <x:pageMargins left="0.7" right="0.7" top="0.75" bottom="0.75" header="0.3" footer="0.3"/>
  <x:drawing xmlns:r="http://schemas.openxmlformats.org/officeDocument/2006/relationships" r:id="Raaabfee01e76487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B59E76-3AD0-F7E2-9F75-3264CD8C1104}">
            <x14:dataBar gradient="1">
              <x14:cfvo type="min"/>
              <x14:cfvo type="max"/>
              <x14:fillColor rgb="1F6B52"/>
            </x14:dataBar>
          </x14:cfRule>
          <xm:sqref>C5:C11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9999694824219" hidden="0" customWidth="1"/>
    <x:col min="2" max="2" width="19.290000915527344" hidden="0" customWidth="1"/>
    <x:col min="3" max="3" width="30.709999084472656" hidden="0" customWidth="1"/>
    <x:col min="4" max="4" width="36.43000030517578" hidden="0" customWidth="1"/>
  </x:cols>
  <x:sheetData>
    <x:row r="1">
      <x:c r="A1" s="44" t="str">
        <x:v>FAO Study Phases</x:v>
      </x:c>
      <x:c r="B1" s="45"/>
      <x:c r="C1" s="45"/>
      <x:c r="D1" s="45"/>
      <x:c r="E1" s="45"/>
      <x:c r="F1" s="46"/>
    </x:row>
    <x:row r="2">
      <x:c r="A2" s="109" t="str">
        <x:v>Set your study start date once, then track your current phase automatically.</x:v>
      </x:c>
      <x:c r="B2" s="99"/>
      <x:c r="C2" s="99"/>
      <x:c r="D2" s="99"/>
      <x:c r="E2" s="99"/>
      <x:c r="F2" s="110"/>
    </x:row>
    <x:row r="3">
      <x:c r="A3" s="49"/>
      <x:c r="B3" s="50"/>
      <x:c r="C3" s="50"/>
      <x:c r="D3" s="50"/>
      <x:c r="E3" s="50"/>
      <x:c r="F3" s="51"/>
    </x:row>
    <x:row r="4">
      <x:c r="A4" s="111" t="str">
        <x:v>Study Start Date</x:v>
      </x:c>
      <x:c r="B4" s="103" t="n">
        <x:v>46136.595284282404</x:v>
      </x:c>
      <x:c r="C4" s="50"/>
      <x:c r="D4" s="50"/>
      <x:c r="E4" s="50"/>
      <x:c r="F4" s="51"/>
    </x:row>
    <x:row r="5">
      <x:c r="A5" s="111" t="str">
        <x:v>Current Study Day</x:v>
      </x:c>
      <x:c r="B5" s="101" t="n">
        <x:f>TODAY()-B4+1</x:f>
        <x:v>0.40471571759553626</x:v>
      </x:c>
      <x:c r="C5" s="50"/>
      <x:c r="D5" s="50"/>
      <x:c r="E5" s="50"/>
      <x:c r="F5" s="51"/>
    </x:row>
    <x:row r="6">
      <x:c r="A6" s="111" t="str">
        <x:v>Current Phase</x:v>
      </x:c>
      <x:c r="B6" s="101" t="str">
        <x:f>IF(B5&lt;=20,"Phase 1 (Foundation + Catch-up)",IF(B5&lt;=50,"Phase 2 (Full Coverage + Practice)",IF(B5&lt;=70,"Phase 3 (Mock Tests + Revision)","Post Plan Review")))</x:f>
        <x:v>Phase 1 (Foundation + Catch-up)</x:v>
      </x:c>
      <x:c r="C6" s="50"/>
      <x:c r="D6" s="50"/>
      <x:c r="E6" s="50"/>
      <x:c r="F6" s="51"/>
    </x:row>
    <x:row r="7">
      <x:c r="A7" s="49"/>
      <x:c r="B7" s="50"/>
      <x:c r="C7" s="50"/>
      <x:c r="D7" s="50"/>
      <x:c r="E7" s="50"/>
      <x:c r="F7" s="51"/>
    </x:row>
    <x:row r="8">
      <x:c r="A8" s="112" t="str">
        <x:v>Phase</x:v>
      </x:c>
      <x:c r="B8" s="107" t="str">
        <x:v>Day Range</x:v>
      </x:c>
      <x:c r="C8" s="107" t="str">
        <x:v>Focus</x:v>
      </x:c>
      <x:c r="D8" s="107" t="str">
        <x:v>Notes</x:v>
      </x:c>
      <x:c r="E8" s="50"/>
      <x:c r="F8" s="51"/>
    </x:row>
    <x:row r="9">
      <x:c r="A9" s="54" t="str">
        <x:v>Phase 1</x:v>
      </x:c>
      <x:c r="B9" s="40" t="str">
        <x:v>Day 1-20</x:v>
      </x:c>
      <x:c r="C9" s="40" t="str">
        <x:v>Foundation + Catch-up</x:v>
      </x:c>
      <x:c r="D9" s="40" t="str">
        <x:v>Build basics and clear pending backlog.</x:v>
      </x:c>
      <x:c r="E9" s="50"/>
      <x:c r="F9" s="51"/>
    </x:row>
    <x:row r="10">
      <x:c r="A10" s="54" t="str">
        <x:v>Phase 2</x:v>
      </x:c>
      <x:c r="B10" s="40" t="str">
        <x:v>Day 21-50</x:v>
      </x:c>
      <x:c r="C10" s="40" t="str">
        <x:v>Full Coverage + Practice</x:v>
      </x:c>
      <x:c r="D10" s="40" t="str">
        <x:v>Cover the full syllabus and practice daily.</x:v>
      </x:c>
      <x:c r="E10" s="50"/>
      <x:c r="F10" s="51"/>
    </x:row>
    <x:row r="11">
      <x:c r="A11" s="56" t="str">
        <x:v>Phase 3</x:v>
      </x:c>
      <x:c r="B11" s="58" t="str">
        <x:v>Day 51-70</x:v>
      </x:c>
      <x:c r="C11" s="58" t="str">
        <x:v>Mock Tests + Revision</x:v>
      </x:c>
      <x:c r="D11" s="58" t="str">
        <x:v>Take mocks, revise weak areas, and improve speed.</x:v>
      </x:c>
      <x:c r="E11" s="113"/>
      <x:c r="F11" s="114"/>
    </x:row>
  </x:sheetData>
  <x:mergeCells>
    <x:mergeCell ref="A1:F1"/>
    <x:mergeCell ref="A2:F2"/>
  </x:mergeCells>
  <x:conditionalFormatting sqref="A9:A11">
    <x:cfRule type="expression" dxfId="5" priority="1">
      <x:formula>A9="Phase 1"</x:formula>
    </x:cfRule>
    <x:cfRule type="expression" dxfId="6" priority="2">
      <x:formula>A9="Phase 2"</x:formula>
    </x:cfRule>
    <x:cfRule type="expression" dxfId="7" priority="3">
      <x:formula>A9="Phase 3"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9.290000915527344" hidden="0" customWidth="1"/>
    <x:col min="3" max="3" width="19.290000915527344" hidden="0" customWidth="1"/>
    <x:col min="4" max="4" width="19.290000915527344" hidden="0" customWidth="1"/>
    <x:col min="5" max="5" width="25" hidden="0" customWidth="1"/>
    <x:col min="6" max="6" width="36.43000030517578" hidden="0" customWidth="1"/>
  </x:cols>
  <x:sheetData>
    <x:row r="1">
      <x:c r="A1" s="129" t="str">
        <x:v>Weekly Performance Review</x:v>
      </x:c>
      <x:c r="B1" s="130"/>
      <x:c r="C1" s="130"/>
      <x:c r="D1" s="130"/>
      <x:c r="E1" s="130"/>
      <x:c r="F1" s="131"/>
    </x:row>
    <x:row r="2">
      <x:c r="A2" s="132" t="str">
        <x:v>Use this sheet to review each week, note weak areas, and plan fixes.</x:v>
      </x:c>
      <x:c r="B2" s="89"/>
      <x:c r="C2" s="89"/>
      <x:c r="D2" s="89"/>
      <x:c r="E2" s="89"/>
      <x:c r="F2" s="133"/>
    </x:row>
    <x:row r="3">
      <x:c r="A3" s="49"/>
      <x:c r="B3" s="50"/>
      <x:c r="C3" s="50"/>
      <x:c r="D3" s="50"/>
      <x:c r="E3" s="50"/>
      <x:c r="F3" s="51"/>
    </x:row>
    <x:row r="4">
      <x:c r="A4" s="134" t="str">
        <x:v>Week</x:v>
      </x:c>
      <x:c r="B4" s="121" t="str">
        <x:v>Total Score</x:v>
      </x:c>
      <x:c r="C4" s="121" t="str">
        <x:v>Avg Score</x:v>
      </x:c>
      <x:c r="D4" s="121" t="str">
        <x:v>Mock Score</x:v>
      </x:c>
      <x:c r="E4" s="121" t="str">
        <x:v>Weak Area</x:v>
      </x:c>
      <x:c r="F4" s="135" t="str">
        <x:v>Fix Plan</x:v>
      </x:c>
    </x:row>
    <x:row r="5">
      <x:c r="A5" s="136" t="n">
        <x:v>1</x:v>
      </x:c>
      <x:c r="B5" s="40"/>
      <x:c r="C5" s="40"/>
      <x:c r="D5" s="40"/>
      <x:c r="E5" s="40" t="str"/>
      <x:c r="F5" s="55" t="str"/>
    </x:row>
    <x:row r="6">
      <x:c r="A6" s="136" t="n">
        <x:v>2</x:v>
      </x:c>
      <x:c r="B6" s="40"/>
      <x:c r="C6" s="40"/>
      <x:c r="D6" s="40"/>
      <x:c r="E6" s="40" t="str"/>
      <x:c r="F6" s="55" t="str"/>
    </x:row>
    <x:row r="7">
      <x:c r="A7" s="136" t="n">
        <x:v>3</x:v>
      </x:c>
      <x:c r="B7" s="40"/>
      <x:c r="C7" s="40"/>
      <x:c r="D7" s="40"/>
      <x:c r="E7" s="40" t="str"/>
      <x:c r="F7" s="55" t="str"/>
    </x:row>
    <x:row r="8">
      <x:c r="A8" s="136" t="n">
        <x:v>4</x:v>
      </x:c>
      <x:c r="B8" s="40"/>
      <x:c r="C8" s="40"/>
      <x:c r="D8" s="40"/>
      <x:c r="E8" s="40" t="str"/>
      <x:c r="F8" s="55" t="str"/>
    </x:row>
    <x:row r="9">
      <x:c r="A9" s="136" t="n">
        <x:v>5</x:v>
      </x:c>
      <x:c r="B9" s="40"/>
      <x:c r="C9" s="40"/>
      <x:c r="D9" s="40"/>
      <x:c r="E9" s="40" t="str"/>
      <x:c r="F9" s="55" t="str"/>
    </x:row>
    <x:row r="10">
      <x:c r="A10" s="136" t="n">
        <x:v>6</x:v>
      </x:c>
      <x:c r="B10" s="40"/>
      <x:c r="C10" s="40"/>
      <x:c r="D10" s="40"/>
      <x:c r="E10" s="40" t="str"/>
      <x:c r="F10" s="55" t="str"/>
    </x:row>
    <x:row r="11">
      <x:c r="A11" s="136" t="n">
        <x:v>7</x:v>
      </x:c>
      <x:c r="B11" s="40"/>
      <x:c r="C11" s="40"/>
      <x:c r="D11" s="40"/>
      <x:c r="E11" s="40" t="str"/>
      <x:c r="F11" s="55" t="str"/>
    </x:row>
    <x:row r="12">
      <x:c r="A12" s="136" t="n">
        <x:v>8</x:v>
      </x:c>
      <x:c r="B12" s="40"/>
      <x:c r="C12" s="40"/>
      <x:c r="D12" s="40"/>
      <x:c r="E12" s="40" t="str"/>
      <x:c r="F12" s="55" t="str"/>
    </x:row>
    <x:row r="13">
      <x:c r="A13" s="136" t="n">
        <x:v>9</x:v>
      </x:c>
      <x:c r="B13" s="40"/>
      <x:c r="C13" s="40"/>
      <x:c r="D13" s="40"/>
      <x:c r="E13" s="40" t="str"/>
      <x:c r="F13" s="55" t="str"/>
    </x:row>
    <x:row r="14">
      <x:c r="A14" s="137" t="n">
        <x:v>10</x:v>
      </x:c>
      <x:c r="B14" s="58"/>
      <x:c r="C14" s="58"/>
      <x:c r="D14" s="58"/>
      <x:c r="E14" s="58" t="str"/>
      <x:c r="F14" s="59" t="str"/>
    </x:row>
  </x:sheetData>
  <x:mergeCells>
    <x:mergeCell ref="A1:F1"/>
    <x:mergeCell ref="A2:F2"/>
  </x:mergeCells>
  <x:conditionalFormatting sqref="B5:D14">
    <x:cfRule type="dataBar" priority="1">
      <x:dataBar>
        <x:cfvo type="min"/>
        <x:cfvo type="max"/>
        <x:color rgb="1F6B52"/>
      </x:dataBar>
      <x:extLst>
        <x:ext xmlns:x14="http://schemas.microsoft.com/office/spreadsheetml/2009/9/main" uri="{B025F937-C7B1-47D3-B67F-A62EFF666E3E}">
          <x14:id>{F7CEE1BB-1AFC-CBE2-A0B9-0518B47802A9}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CEE1BB-1AFC-CBE2-A0B9-0518B47802A9}">
            <x14:dataBar gradient="1">
              <x14:cfvo type="min"/>
              <x14:cfvo type="max"/>
              <x14:fillColor rgb="1F6B52"/>
            </x14:dataBar>
          </x14:cfRule>
          <xm:sqref>B5:D14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26.43000030517578" hidden="0" customWidth="1"/>
    <x:col min="3" max="3" width="10.710000038146973" hidden="0" customWidth="1"/>
    <x:col min="4" max="4" width="20.709999084472656" hidden="0" customWidth="1"/>
    <x:col min="5" max="5" width="20.709999084472656" hidden="0" customWidth="1"/>
    <x:col min="6" max="6" width="16.43000030517578" hidden="0" customWidth="1"/>
  </x:cols>
  <x:sheetData>
    <x:row r="1">
      <x:c r="A1" s="44" t="str">
        <x:v>FAO Topic Checklist</x:v>
      </x:c>
      <x:c r="B1" s="45"/>
      <x:c r="C1" s="45"/>
      <x:c r="D1" s="147"/>
      <x:c r="E1" s="147"/>
      <x:c r="F1" s="148"/>
    </x:row>
    <x:row r="2">
      <x:c r="A2" s="109" t="str">
        <x:v>Mark ✔ when a topic is covered and ✘ while pending.</x:v>
      </x:c>
      <x:c r="B2" s="99"/>
      <x:c r="C2" s="99"/>
      <x:c r="D2" s="50"/>
      <x:c r="E2" s="50"/>
      <x:c r="F2" s="51"/>
    </x:row>
    <x:row r="3">
      <x:c r="A3" s="49"/>
      <x:c r="B3" s="50"/>
      <x:c r="C3" s="50"/>
      <x:c r="D3" s="50"/>
      <x:c r="E3" s="50"/>
      <x:c r="F3" s="51"/>
    </x:row>
    <x:row r="4">
      <x:c r="A4" s="134" t="str">
        <x:v>Subject</x:v>
      </x:c>
      <x:c r="B4" s="121" t="str">
        <x:v>Topic</x:v>
      </x:c>
      <x:c r="C4" s="121" t="str">
        <x:v>Status</x:v>
      </x:c>
      <x:c r="D4" s="50"/>
      <x:c r="E4" s="107" t="str">
        <x:v>Subject</x:v>
      </x:c>
      <x:c r="F4" s="149" t="str">
        <x:v>Completed Topics</x:v>
      </x:c>
    </x:row>
    <x:row r="5">
      <x:c r="A5" s="150" t="str">
        <x:v>Commercial Maths</x:v>
      </x:c>
      <x:c r="B5" s="93" t="str">
        <x:v>Percentage</x:v>
      </x:c>
      <x:c r="C5" s="93" t="str">
        <x:v>✘</x:v>
      </x:c>
      <x:c r="D5" s="50"/>
      <x:c r="E5" s="93" t="str">
        <x:v>Commercial Maths</x:v>
      </x:c>
      <x:c r="F5" s="151" t="n">
        <x:f>COUNTIFS($A$5:$A$22,E5,$C$5:$C$22,"✔")</x:f>
        <x:v>0</x:v>
      </x:c>
    </x:row>
    <x:row r="6">
      <x:c r="A6" s="150" t="str">
        <x:v>Commercial Maths</x:v>
      </x:c>
      <x:c r="B6" s="93" t="str">
        <x:v>Ratio</x:v>
      </x:c>
      <x:c r="C6" s="93" t="str">
        <x:v>✘</x:v>
      </x:c>
      <x:c r="D6" s="50"/>
      <x:c r="E6" s="93" t="str">
        <x:v>Reasoning</x:v>
      </x:c>
      <x:c r="F6" s="151" t="n">
        <x:f>COUNTIFS($A$5:$A$22,E6,$C$5:$C$22,"✔")</x:f>
        <x:v>0</x:v>
      </x:c>
    </x:row>
    <x:row r="7">
      <x:c r="A7" s="150" t="str">
        <x:v>Commercial Maths</x:v>
      </x:c>
      <x:c r="B7" s="93" t="str">
        <x:v>Mean</x:v>
      </x:c>
      <x:c r="C7" s="93" t="str">
        <x:v>✘</x:v>
      </x:c>
      <x:c r="D7" s="50"/>
      <x:c r="E7" s="93" t="str">
        <x:v>Commerce</x:v>
      </x:c>
      <x:c r="F7" s="151" t="n">
        <x:f>COUNTIFS($A$5:$A$22,E7,$C$5:$C$22,"✔")</x:f>
        <x:v>0</x:v>
      </x:c>
    </x:row>
    <x:row r="8">
      <x:c r="A8" s="150" t="str">
        <x:v>Commercial Maths</x:v>
      </x:c>
      <x:c r="B8" s="93" t="str">
        <x:v>Median</x:v>
      </x:c>
      <x:c r="C8" s="93" t="str">
        <x:v>✘</x:v>
      </x:c>
      <x:c r="D8" s="50"/>
      <x:c r="E8" s="93" t="str">
        <x:v>Polity</x:v>
      </x:c>
      <x:c r="F8" s="151" t="n">
        <x:f>COUNTIFS($A$5:$A$22,E8,$C$5:$C$22,"✔")</x:f>
        <x:v>0</x:v>
      </x:c>
    </x:row>
    <x:row r="9">
      <x:c r="A9" s="150" t="str">
        <x:v>Commercial Maths</x:v>
      </x:c>
      <x:c r="B9" s="93" t="str">
        <x:v>SD</x:v>
      </x:c>
      <x:c r="C9" s="93" t="str">
        <x:v>✘</x:v>
      </x:c>
      <x:c r="D9" s="50"/>
      <x:c r="E9" s="93" t="str">
        <x:v>Economics</x:v>
      </x:c>
      <x:c r="F9" s="151" t="n">
        <x:f>COUNTIFS($A$5:$A$22,E9,$C$5:$C$22,"✔")</x:f>
        <x:v>0</x:v>
      </x:c>
    </x:row>
    <x:row r="10">
      <x:c r="A10" s="150" t="str">
        <x:v>Reasoning</x:v>
      </x:c>
      <x:c r="B10" s="93" t="str">
        <x:v>Series</x:v>
      </x:c>
      <x:c r="C10" s="93" t="str">
        <x:v>✘</x:v>
      </x:c>
      <x:c r="D10" s="50"/>
      <x:c r="E10" s="50"/>
      <x:c r="F10" s="51"/>
    </x:row>
    <x:row r="11">
      <x:c r="A11" s="150" t="str">
        <x:v>Reasoning</x:v>
      </x:c>
      <x:c r="B11" s="93" t="str">
        <x:v>Coding</x:v>
      </x:c>
      <x:c r="C11" s="93" t="str">
        <x:v>✘</x:v>
      </x:c>
      <x:c r="D11" s="50"/>
      <x:c r="E11" s="50"/>
      <x:c r="F11" s="51"/>
    </x:row>
    <x:row r="12">
      <x:c r="A12" s="150" t="str">
        <x:v>Reasoning</x:v>
      </x:c>
      <x:c r="B12" s="93" t="str">
        <x:v>Direction</x:v>
      </x:c>
      <x:c r="C12" s="93" t="str">
        <x:v>✘</x:v>
      </x:c>
      <x:c r="D12" s="50"/>
      <x:c r="E12" s="50"/>
      <x:c r="F12" s="51"/>
    </x:row>
    <x:row r="13">
      <x:c r="A13" s="150" t="str">
        <x:v>Reasoning</x:v>
      </x:c>
      <x:c r="B13" s="93" t="str">
        <x:v>Blood relation</x:v>
      </x:c>
      <x:c r="C13" s="93" t="str">
        <x:v>✘</x:v>
      </x:c>
      <x:c r="D13" s="50"/>
      <x:c r="E13" s="50"/>
      <x:c r="F13" s="51"/>
    </x:row>
    <x:row r="14">
      <x:c r="A14" s="150" t="str">
        <x:v>Commerce</x:v>
      </x:c>
      <x:c r="B14" s="93" t="str">
        <x:v>Business Organisation</x:v>
      </x:c>
      <x:c r="C14" s="93" t="str">
        <x:v>✘</x:v>
      </x:c>
      <x:c r="D14" s="50"/>
      <x:c r="E14" s="50"/>
      <x:c r="F14" s="51"/>
    </x:row>
    <x:row r="15">
      <x:c r="A15" s="150" t="str">
        <x:v>Commerce</x:v>
      </x:c>
      <x:c r="B15" s="93" t="str">
        <x:v>Banking</x:v>
      </x:c>
      <x:c r="C15" s="93" t="str">
        <x:v>✘</x:v>
      </x:c>
      <x:c r="D15" s="50"/>
      <x:c r="E15" s="50"/>
      <x:c r="F15" s="51"/>
    </x:row>
    <x:row r="16">
      <x:c r="A16" s="150" t="str">
        <x:v>Commerce</x:v>
      </x:c>
      <x:c r="B16" s="93" t="str">
        <x:v>Auditing</x:v>
      </x:c>
      <x:c r="C16" s="93" t="str">
        <x:v>✘</x:v>
      </x:c>
      <x:c r="D16" s="50"/>
      <x:c r="E16" s="50"/>
      <x:c r="F16" s="51"/>
    </x:row>
    <x:row r="17">
      <x:c r="A17" s="150" t="str">
        <x:v>Polity</x:v>
      </x:c>
      <x:c r="B17" s="93" t="str">
        <x:v>CAG</x:v>
      </x:c>
      <x:c r="C17" s="93" t="str">
        <x:v>✘</x:v>
      </x:c>
      <x:c r="D17" s="50"/>
      <x:c r="E17" s="50"/>
      <x:c r="F17" s="51"/>
    </x:row>
    <x:row r="18">
      <x:c r="A18" s="150" t="str">
        <x:v>Polity</x:v>
      </x:c>
      <x:c r="B18" s="93" t="str">
        <x:v>Finance Commission</x:v>
      </x:c>
      <x:c r="C18" s="93" t="str">
        <x:v>✘</x:v>
      </x:c>
      <x:c r="D18" s="50"/>
      <x:c r="E18" s="50"/>
      <x:c r="F18" s="51"/>
    </x:row>
    <x:row r="19">
      <x:c r="A19" s="150" t="str">
        <x:v>Polity</x:v>
      </x:c>
      <x:c r="B19" s="93" t="str">
        <x:v>Budget</x:v>
      </x:c>
      <x:c r="C19" s="93" t="str">
        <x:v>✘</x:v>
      </x:c>
      <x:c r="D19" s="50"/>
      <x:c r="E19" s="50"/>
      <x:c r="F19" s="51"/>
    </x:row>
    <x:row r="20">
      <x:c r="A20" s="150" t="str">
        <x:v>Economics</x:v>
      </x:c>
      <x:c r="B20" s="93" t="str">
        <x:v>GDP</x:v>
      </x:c>
      <x:c r="C20" s="93" t="str">
        <x:v>✘</x:v>
      </x:c>
      <x:c r="D20" s="50"/>
      <x:c r="E20" s="50"/>
      <x:c r="F20" s="51"/>
    </x:row>
    <x:row r="21">
      <x:c r="A21" s="150" t="str">
        <x:v>Economics</x:v>
      </x:c>
      <x:c r="B21" s="93" t="str">
        <x:v>Inflation</x:v>
      </x:c>
      <x:c r="C21" s="93" t="str">
        <x:v>✘</x:v>
      </x:c>
      <x:c r="D21" s="50"/>
      <x:c r="E21" s="50"/>
      <x:c r="F21" s="51"/>
    </x:row>
    <x:row r="22">
      <x:c r="A22" s="152" t="str">
        <x:v>Economics</x:v>
      </x:c>
      <x:c r="B22" s="153" t="str">
        <x:v>Monetary Policy</x:v>
      </x:c>
      <x:c r="C22" s="153" t="str">
        <x:v>✘</x:v>
      </x:c>
      <x:c r="D22" s="113"/>
      <x:c r="E22" s="113"/>
      <x:c r="F22" s="114"/>
    </x:row>
  </x:sheetData>
  <x:mergeCells>
    <x:mergeCell ref="A1:C1"/>
    <x:mergeCell ref="A2:C2"/>
  </x:mergeCells>
  <x:conditionalFormatting sqref="C5:C22">
    <x:cfRule type="expression" dxfId="8" priority="1">
      <x:formula>C5="✔"</x:formula>
    </x:cfRule>
    <x:cfRule type="expression" dxfId="9" priority="2">
      <x:formula>C5="✘"</x:formula>
    </x:cfRule>
  </x:conditionalFormatting>
  <x:conditionalFormatting sqref="A5:A22">
    <x:cfRule type="expression" dxfId="10" priority="3">
      <x:formula>A5="Commercial Maths"</x:formula>
    </x:cfRule>
    <x:cfRule type="expression" dxfId="11" priority="4">
      <x:formula>A5="Reasoning"</x:formula>
    </x:cfRule>
    <x:cfRule type="expression" dxfId="12" priority="5">
      <x:formula>A5="Commerce"</x:formula>
    </x:cfRule>
    <x:cfRule type="expression" dxfId="13" priority="6">
      <x:formula>A5="Polity"</x:formula>
    </x:cfRule>
    <x:cfRule type="expression" dxfId="14" priority="7">
      <x:formula>A5="Economics"</x:formula>
    </x:cfRule>
  </x:conditionalFormatting>
  <x:conditionalFormatting sqref="F5:F9">
    <x:cfRule type="dataBar" priority="8">
      <x:dataBar>
        <x:cfvo type="min"/>
        <x:cfvo type="max"/>
        <x:color rgb="1F6B52"/>
      </x:dataBar>
      <x:extLst>
        <x:ext xmlns:x14="http://schemas.microsoft.com/office/spreadsheetml/2009/9/main" uri="{B025F937-C7B1-47D3-B67F-A62EFF666E3E}">
          <x14:id>{3ECBE8B9-0637-C2F7-52A2-E3971DF651A4}</x14:id>
        </x:ext>
      </x:extLst>
    </x:cfRule>
  </x:conditionalFormatting>
  <x:dataValidations count="1">
    <x:dataValidation type="list" sqref="C5:C22">
      <x:formula1>"✔,✘"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3ECBE8B9-0637-C2F7-52A2-E3971DF651A4}">
            <x14:dataBar gradient="1">
              <x14:cfvo type="min"/>
              <x14:cfvo type="max"/>
              <x14:fillColor rgb="1F6B52"/>
            </x14:dataBar>
          </x14:cfRule>
          <xm:sqref>F5:F9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20.709999084472656" hidden="0" customWidth="1"/>
    <x:col min="3" max="3" width="20.709999084472656" hidden="0" customWidth="1"/>
    <x:col min="4" max="4" width="25" hidden="0" customWidth="1"/>
    <x:col min="5" max="5" width="33.56999969482422" hidden="0" customWidth="1"/>
  </x:cols>
  <x:sheetData>
    <x:row r="1">
      <x:c r="A1" s="129" t="str">
        <x:v>Mock Test Log</x:v>
      </x:c>
      <x:c r="B1" s="130"/>
      <x:c r="C1" s="130"/>
      <x:c r="D1" s="130"/>
      <x:c r="E1" s="131"/>
    </x:row>
    <x:row r="2">
      <x:c r="A2" s="132" t="str">
        <x:v>Track each mock test with score, accuracy, weak area, and improvement notes.</x:v>
      </x:c>
      <x:c r="B2" s="89"/>
      <x:c r="C2" s="89"/>
      <x:c r="D2" s="89"/>
      <x:c r="E2" s="133"/>
    </x:row>
    <x:row r="3">
      <x:c r="A3" s="49"/>
      <x:c r="B3" s="50"/>
      <x:c r="C3" s="50"/>
      <x:c r="D3" s="50"/>
      <x:c r="E3" s="51"/>
    </x:row>
    <x:row r="4">
      <x:c r="A4" s="134" t="str">
        <x:v>Test No</x:v>
      </x:c>
      <x:c r="B4" s="121" t="str">
        <x:v>Score</x:v>
      </x:c>
      <x:c r="C4" s="121" t="str">
        <x:v>Accuracy</x:v>
      </x:c>
      <x:c r="D4" s="121" t="str">
        <x:v>Weak Area</x:v>
      </x:c>
      <x:c r="E4" s="135" t="str">
        <x:v>Improvement</x:v>
      </x:c>
    </x:row>
    <x:row r="5">
      <x:c r="A5" s="136" t="n">
        <x:v>1</x:v>
      </x:c>
      <x:c r="B5" s="40"/>
      <x:c r="C5" s="161"/>
      <x:c r="D5" s="40" t="str"/>
      <x:c r="E5" s="55" t="str"/>
    </x:row>
    <x:row r="6">
      <x:c r="A6" s="136" t="n">
        <x:v>2</x:v>
      </x:c>
      <x:c r="B6" s="40"/>
      <x:c r="C6" s="161"/>
      <x:c r="D6" s="40" t="str"/>
      <x:c r="E6" s="55" t="str"/>
    </x:row>
    <x:row r="7">
      <x:c r="A7" s="137" t="n">
        <x:v>3</x:v>
      </x:c>
      <x:c r="B7" s="58"/>
      <x:c r="C7" s="163"/>
      <x:c r="D7" s="58" t="str"/>
      <x:c r="E7" s="59" t="str"/>
    </x:row>
  </x:sheetData>
  <x:mergeCells>
    <x:mergeCell ref="A1:E1"/>
    <x:mergeCell ref="A2:E2"/>
  </x:mergeCells>
  <x:conditionalFormatting sqref="B5:C7">
    <x:cfRule type="dataBar" priority="1">
      <x:dataBar>
        <x:cfvo type="min"/>
        <x:cfvo type="max"/>
        <x:color rgb="1F6B52"/>
      </x:dataBar>
      <x:extLst>
        <x:ext xmlns:x14="http://schemas.microsoft.com/office/spreadsheetml/2009/9/main" uri="{B025F937-C7B1-47D3-B67F-A62EFF666E3E}">
          <x14:id>{35E7B821-8EB8-B352-2F45-E7EEFD74AC81}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E7B821-8EB8-B352-2F45-E7EEFD74AC81}">
            <x14:dataBar gradient="1">
              <x14:cfvo type="min"/>
              <x14:cfvo type="max"/>
              <x14:fillColor rgb="1F6B52"/>
            </x14:dataBar>
          </x14:cfRule>
          <xm:sqref>B5:C7</xm:sqref>
        </x14:conditionalFormatting>
      </x14:conditionalFormattings>
    </x:ext>
  </x:extLst>
</x:worksheet>
</file>